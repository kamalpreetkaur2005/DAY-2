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9BEF2F2-12C4-4373-A81E-301B1BAB0476}" xr6:coauthVersionLast="47" xr6:coauthVersionMax="47" xr10:uidLastSave="{00000000-0000-0000-0000-000000000000}"/>
  <bookViews>
    <workbookView xWindow="-120" yWindow="-120" windowWidth="20730" windowHeight="11160" xr2:uid="{EB7829E0-5CDC-429A-BB7F-8A57C527A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<sst xmlns="http://schemas.openxmlformats.org/spreadsheetml/2006/main" count="41" uniqueCount="30">
  <si>
    <t>NAME</t>
  </si>
  <si>
    <t>COURSE</t>
  </si>
  <si>
    <t>TECH</t>
  </si>
  <si>
    <t>MARKS</t>
  </si>
  <si>
    <t>TOTAL</t>
  </si>
  <si>
    <t>PERCENTAGE</t>
  </si>
  <si>
    <t>RESULT</t>
  </si>
  <si>
    <t>AVERAGE</t>
  </si>
  <si>
    <t>GRADE</t>
  </si>
  <si>
    <t>ROOP</t>
  </si>
  <si>
    <t>GURI</t>
  </si>
  <si>
    <t>AMRIT</t>
  </si>
  <si>
    <t>JASLEEN</t>
  </si>
  <si>
    <t>ROJI</t>
  </si>
  <si>
    <t>AMAN</t>
  </si>
  <si>
    <t>AVI</t>
  </si>
  <si>
    <t>RAVI</t>
  </si>
  <si>
    <t>PYTHON</t>
  </si>
  <si>
    <t>DAY 2</t>
  </si>
  <si>
    <t>25_08_2026</t>
  </si>
  <si>
    <t>DC</t>
  </si>
  <si>
    <t>C</t>
  </si>
  <si>
    <t>JAVA</t>
  </si>
  <si>
    <t>MCA</t>
  </si>
  <si>
    <t>A</t>
  </si>
  <si>
    <t>B</t>
  </si>
  <si>
    <t>A+</t>
  </si>
  <si>
    <t>B+</t>
  </si>
  <si>
    <t>C+</t>
  </si>
  <si>
    <t>SUM,PERCENTAGE,AVERAGE,RESULT,GRADE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</si>
</sst>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A8079B-9CA4-48EB-9F9B-E45D48C11FE0}" name="Table1" displayName="Table1" ref="A1:I9" totalsRowShown="0">
  <autoFilter ref="A1:I9" xr:uid="{B8A8079B-9CA4-48EB-9F9B-E45D48C11FE0}"/>
  <tableColumns count="9">
    <tableColumn id="1" xr3:uid="{DADD9AE4-651B-4A49-8905-09B4A0DC65C0}" name="NAME"/>
    <tableColumn id="2" xr3:uid="{8D24CB3D-ABC7-4CC3-AA3C-9E4765308D54}" name="COURSE"/>
    <tableColumn id="3" xr3:uid="{99E86ABD-DAA2-4191-BA61-BB330B2DC9F7}" name="TECH"/>
    <tableColumn id="4" xr3:uid="{F83B3149-6698-4739-93DF-A220B38606D6}" name="MARKS"/>
    <tableColumn id="5" xr3:uid="{A816A265-4858-4347-8FC0-BD2E67621BDD}" name="TOTAL"/>
    <tableColumn id="6" xr3:uid="{29049774-E462-432F-86A3-EF26C4048B30}" name="PERCENTAGE">
      <calculatedColumnFormula>D2/E2*100</calculatedColumnFormula>
    </tableColumn>
    <tableColumn id="7" xr3:uid="{9078555B-4C6E-49DD-ADC3-2790208F550E}" name="RESULT">
      <calculatedColumnFormula>IF(D2&gt;=40,"PASS","FAIL")</calculatedColumnFormula>
    </tableColumn>
    <tableColumn id="8" xr3:uid="{868AE8D9-D29B-4846-9347-084C8B6AFAD3}" name="AVERAGE">
      <calculatedColumnFormula>AVERAGE(D2/E2*100)</calculatedColumnFormula>
    </tableColumn>
    <tableColumn id="9" xr3:uid="{9BB43011-CFAD-46B4-8F14-31260EECAB65}" name="GRADE">
      <calculatedColumnFormula>IF(D2&gt;=90,"A+",IF(D2&gt;=80,"A",IF(D2&gt;=70,"B+",IF(D2&gt;=60,"B",IF(D2&gt;=50,"C+","FAIL")))))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6AA7-3A59-4E46-AC4D-B25DBD65E344}">
  <dimension ref="A1:S11"/>
  <sheetViews>
    <sheetView tabSelected="1" workbookViewId="0">
      <selection activeCell="E11" sqref="E11"/>
    </sheetView>
  </sheetViews>
  <sheetFormatPr defaultRowHeight="15" x14ac:dyDescent="0.25"/>
  <cols>
    <col min="2" max="2" width="10.28515625" customWidth="1"/>
    <col min="4" max="4" width="9.5703125" customWidth="1"/>
    <col min="6" max="6" width="14.7109375" customWidth="1"/>
    <col min="7" max="7" width="9.5703125" customWidth="1"/>
    <col min="8" max="8" width="11.5703125" customWidth="1"/>
    <col min="9" max="9" width="9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1" t="s">
        <v>18</v>
      </c>
      <c r="L1" s="2"/>
      <c r="M1" s="2"/>
      <c r="N1" s="2"/>
    </row>
    <row r="2" spans="1:19" x14ac:dyDescent="0.25">
      <c r="A2" t="s">
        <v>9</v>
      </c>
      <c r="B2" t="s">
        <v>17</v>
      </c>
      <c r="C2" t="s">
        <v>23</v>
      </c>
      <c r="D2">
        <v>98</v>
      </c>
      <c r="E2">
        <v>100</v>
      </c>
      <c r="F2">
        <f>D2/E2*100</f>
        <v>98</v>
      </c>
      <c r="G2" t="str">
        <f>IF(D2&gt;=40,"PASS","FAIL")</f>
        <v>PASS</v>
      </c>
      <c r="H2">
        <f>AVERAGE(D2/E2*100)</f>
        <v>98</v>
      </c>
      <c r="I2" t="str">
        <f>IF(D2&gt;=90,"A+",IF(D2&gt;=80,"A",IF(D2&gt;=70,"B+",IF(D2&gt;=60,"B",IF(D2&gt;=50,"C+","FAIL")))))</f>
        <v>A+</v>
      </c>
      <c r="K2" s="2"/>
      <c r="L2" s="2"/>
      <c r="M2" s="2"/>
      <c r="N2" s="2"/>
    </row>
    <row r="3" spans="1:19" x14ac:dyDescent="0.25">
      <c r="A3" t="s">
        <v>10</v>
      </c>
      <c r="B3" t="s">
        <v>20</v>
      </c>
      <c r="C3" t="s">
        <v>23</v>
      </c>
      <c r="D3">
        <v>75</v>
      </c>
      <c r="E3">
        <v>100</v>
      </c>
      <c r="F3">
        <f t="shared" ref="F3:F9" si="0">D3/E3*100</f>
        <v>75</v>
      </c>
      <c r="G3" t="str">
        <f t="shared" ref="G3:G9" si="1">IF(D3&gt;=40,"PASS","FAIL")</f>
        <v>PASS</v>
      </c>
      <c r="H3">
        <f t="shared" ref="H3:H9" si="2">AVERAGE(D3/E3*100)</f>
        <v>75</v>
      </c>
      <c r="I3" t="str">
        <f t="shared" ref="I3:I9" si="3">IF(D3&gt;=90,"A+",IF(D3&gt;=80,"A",IF(D3&gt;=70,"B+",IF(D3&gt;=60,"B",IF(D3&gt;=50,"C+","FAIL")))))</f>
        <v>B+</v>
      </c>
      <c r="K3" s="3" t="s">
        <v>19</v>
      </c>
      <c r="L3" s="4"/>
      <c r="M3" s="4"/>
      <c r="N3" s="4"/>
    </row>
    <row r="4" spans="1:19" x14ac:dyDescent="0.25">
      <c r="A4" t="s">
        <v>11</v>
      </c>
      <c r="B4" t="s">
        <v>22</v>
      </c>
      <c r="C4" t="s">
        <v>23</v>
      </c>
      <c r="D4">
        <v>65</v>
      </c>
      <c r="E4">
        <v>100</v>
      </c>
      <c r="F4">
        <f t="shared" si="0"/>
        <v>65</v>
      </c>
      <c r="G4" t="str">
        <f t="shared" si="1"/>
        <v>PASS</v>
      </c>
      <c r="H4">
        <f t="shared" si="2"/>
        <v>65</v>
      </c>
      <c r="I4" t="str">
        <f t="shared" si="3"/>
        <v>B</v>
      </c>
      <c r="K4" s="4"/>
      <c r="L4" s="4"/>
      <c r="M4" s="4"/>
      <c r="N4" s="4"/>
    </row>
    <row r="5" spans="1:19" x14ac:dyDescent="0.25">
      <c r="A5" t="s">
        <v>12</v>
      </c>
      <c r="B5" t="s">
        <v>17</v>
      </c>
      <c r="C5" t="s">
        <v>23</v>
      </c>
      <c r="D5">
        <v>88</v>
      </c>
      <c r="E5">
        <v>100</v>
      </c>
      <c r="F5">
        <f t="shared" si="0"/>
        <v>88</v>
      </c>
      <c r="G5" t="str">
        <f t="shared" si="1"/>
        <v>PASS</v>
      </c>
      <c r="H5">
        <f t="shared" si="2"/>
        <v>88</v>
      </c>
      <c r="I5" t="str">
        <f t="shared" si="3"/>
        <v>A</v>
      </c>
      <c r="M5" s="5" t="s">
        <v>29</v>
      </c>
      <c r="N5" s="6"/>
      <c r="O5" s="6"/>
      <c r="P5" s="6"/>
      <c r="Q5" s="6"/>
      <c r="R5" s="6"/>
      <c r="S5" s="6"/>
    </row>
    <row r="6" spans="1:19" x14ac:dyDescent="0.25">
      <c r="A6" t="s">
        <v>13</v>
      </c>
      <c r="B6" t="s">
        <v>21</v>
      </c>
      <c r="C6" t="s">
        <v>23</v>
      </c>
      <c r="D6">
        <v>45</v>
      </c>
      <c r="E6">
        <v>100</v>
      </c>
      <c r="F6">
        <f t="shared" si="0"/>
        <v>45</v>
      </c>
      <c r="G6" t="str">
        <f t="shared" si="1"/>
        <v>PASS</v>
      </c>
      <c r="H6">
        <f t="shared" si="2"/>
        <v>45</v>
      </c>
      <c r="I6" t="str">
        <f t="shared" si="3"/>
        <v>FAIL</v>
      </c>
      <c r="K6">
        <v>90</v>
      </c>
      <c r="L6" t="s">
        <v>26</v>
      </c>
      <c r="M6" s="6"/>
      <c r="N6" s="6"/>
      <c r="O6" s="6"/>
      <c r="P6" s="6"/>
      <c r="Q6" s="6"/>
      <c r="R6" s="6"/>
      <c r="S6" s="6"/>
    </row>
    <row r="7" spans="1:19" x14ac:dyDescent="0.25">
      <c r="A7" t="s">
        <v>14</v>
      </c>
      <c r="B7" t="s">
        <v>21</v>
      </c>
      <c r="C7" t="s">
        <v>23</v>
      </c>
      <c r="D7">
        <v>58</v>
      </c>
      <c r="E7">
        <v>100</v>
      </c>
      <c r="F7">
        <f t="shared" si="0"/>
        <v>57.999999999999993</v>
      </c>
      <c r="G7" t="str">
        <f t="shared" si="1"/>
        <v>PASS</v>
      </c>
      <c r="H7">
        <f t="shared" si="2"/>
        <v>57.999999999999993</v>
      </c>
      <c r="I7" t="str">
        <f t="shared" si="3"/>
        <v>C+</v>
      </c>
      <c r="K7">
        <v>80</v>
      </c>
      <c r="L7" t="s">
        <v>24</v>
      </c>
    </row>
    <row r="8" spans="1:19" x14ac:dyDescent="0.25">
      <c r="A8" t="s">
        <v>15</v>
      </c>
      <c r="B8" t="s">
        <v>20</v>
      </c>
      <c r="C8" t="s">
        <v>23</v>
      </c>
      <c r="D8">
        <v>38</v>
      </c>
      <c r="E8">
        <v>100</v>
      </c>
      <c r="F8">
        <f t="shared" si="0"/>
        <v>38</v>
      </c>
      <c r="G8" t="str">
        <f t="shared" si="1"/>
        <v>FAIL</v>
      </c>
      <c r="H8">
        <f t="shared" si="2"/>
        <v>38</v>
      </c>
      <c r="I8" t="str">
        <f t="shared" si="3"/>
        <v>FAIL</v>
      </c>
      <c r="K8">
        <v>70</v>
      </c>
      <c r="L8" t="s">
        <v>27</v>
      </c>
    </row>
    <row r="9" spans="1:19" x14ac:dyDescent="0.25">
      <c r="A9" t="s">
        <v>16</v>
      </c>
      <c r="B9" t="s">
        <v>22</v>
      </c>
      <c r="C9" t="s">
        <v>23</v>
      </c>
      <c r="D9">
        <v>90</v>
      </c>
      <c r="E9">
        <v>100</v>
      </c>
      <c r="F9">
        <f t="shared" si="0"/>
        <v>90</v>
      </c>
      <c r="G9" t="str">
        <f t="shared" si="1"/>
        <v>PASS</v>
      </c>
      <c r="H9">
        <f t="shared" si="2"/>
        <v>90</v>
      </c>
      <c r="I9" t="str">
        <f t="shared" si="3"/>
        <v>A+</v>
      </c>
      <c r="K9">
        <v>60</v>
      </c>
      <c r="L9" t="s">
        <v>25</v>
      </c>
    </row>
    <row r="10" spans="1:19" x14ac:dyDescent="0.25">
      <c r="K10">
        <v>50</v>
      </c>
      <c r="L10" t="s">
        <v>28</v>
      </c>
    </row>
    <row r="11" spans="1:19" x14ac:dyDescent="0.25">
      <c r="K11">
        <v>40</v>
      </c>
    </row>
  </sheetData>
  <mergeCells count="3">
    <mergeCell ref="K1:N2"/>
    <mergeCell ref="K3:N4"/>
    <mergeCell ref="M5:S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2026-09-23T04:43:31Z</dcterms:created>
  <dcterms:modified xsi:type="dcterms:W3CDTF">2026-09-24T05:12:26Z</dcterms:modified>
</cp:coreProperties>
</file>